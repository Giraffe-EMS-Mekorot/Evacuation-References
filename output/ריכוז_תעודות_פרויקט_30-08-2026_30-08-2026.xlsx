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ריכוז תעודות" sheetId="1" state="visible" r:id="rId1"/>
    <sheet name="סיכום" sheetId="2" state="visible" r:id="rId2"/>
  </sheets>
  <definedNames>
    <definedName name="_xlnm._FilterDatabase" localSheetId="0" hidden="1">'ריכוז תעודות'!$A$1:$L$6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sz val="11"/>
    </font>
    <font>
      <color rgb="000563C1"/>
      <sz val="11"/>
      <u val="single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Projects/tteudot-agent/input/1945_%D7%90%D7%97%D7%9C%D7%9E%D7%94%20%D7%97%D7%95%D7%93%D7%A9%205.26.pdf" TargetMode="External" Id="rId1" /><Relationship Type="http://schemas.openxmlformats.org/officeDocument/2006/relationships/hyperlink" Target="file:///C:/Projects/tteudot-agent/input/1945_%D7%90%D7%97%D7%9C%D7%9E%D7%94%20%D7%97%D7%95%D7%93%D7%A9%205.26.pdf" TargetMode="External" Id="rId2" /><Relationship Type="http://schemas.openxmlformats.org/officeDocument/2006/relationships/hyperlink" Target="file:///C:/Projects/tteudot-agent/input/1945_%D7%90%D7%97%D7%9C%D7%9E%D7%94%20%D7%97%D7%95%D7%93%D7%A9%205.26.pdf" TargetMode="External" Id="rId3" /><Relationship Type="http://schemas.openxmlformats.org/officeDocument/2006/relationships/hyperlink" Target="file:///C:/Projects/tteudot-agent/input/1945_%D7%90%D7%97%D7%9C%D7%9E%D7%94%20%D7%97%D7%95%D7%93%D7%A9%205.26.pdf" TargetMode="External" Id="rId4" /><Relationship Type="http://schemas.openxmlformats.org/officeDocument/2006/relationships/hyperlink" Target="file:///C:/Projects/tteudot-agent/input/1945_%D7%90%D7%97%D7%9C%D7%9E%D7%94%20%D7%97%D7%95%D7%93%D7%A9%205.26.pdf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7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22" customWidth="1" min="8" max="8"/>
    <col width="12" customWidth="1" min="9" max="9"/>
    <col width="12" customWidth="1" min="10" max="10"/>
    <col width="40" customWidth="1" min="11" max="11"/>
    <col width="26" customWidth="1" min="12" max="12"/>
  </cols>
  <sheetData>
    <row r="1" ht="26" customHeight="1">
      <c r="A1" s="1" t="inlineStr">
        <is>
          <t>מרחב</t>
        </is>
      </c>
      <c r="B1" s="1" t="inlineStr">
        <is>
          <t>אתר/יחידה</t>
        </is>
      </c>
      <c r="C1" s="1" t="inlineStr">
        <is>
          <t>שנה</t>
        </is>
      </c>
      <c r="D1" s="1" t="inlineStr">
        <is>
          <t>חודש</t>
        </is>
      </c>
      <c r="E1" s="1" t="inlineStr">
        <is>
          <t>סוג הפסולת</t>
        </is>
      </c>
      <c r="F1" s="1" t="inlineStr">
        <is>
          <t>כמות</t>
        </is>
      </c>
      <c r="G1" s="1" t="inlineStr">
        <is>
          <t>יחידת מידה</t>
        </is>
      </c>
      <c r="H1" s="1" t="inlineStr">
        <is>
          <t>סוג אסמכתא מצורפת</t>
        </is>
      </c>
      <c r="I1" s="1" t="inlineStr">
        <is>
          <t>מספר תעודה</t>
        </is>
      </c>
      <c r="J1" s="1" t="inlineStr">
        <is>
          <t>רמת ביטחון</t>
        </is>
      </c>
      <c r="K1" s="1" t="inlineStr">
        <is>
          <t>הערות</t>
        </is>
      </c>
      <c r="L1" s="1" t="inlineStr">
        <is>
          <t>קובץ מקור</t>
        </is>
      </c>
    </row>
    <row r="2">
      <c r="A2" s="2" t="inlineStr"/>
      <c r="B2" s="2" t="inlineStr">
        <is>
          <t>ירושלים - החאן מקטע 30.2 תיק 811257</t>
        </is>
      </c>
      <c r="C2" s="3" t="inlineStr">
        <is>
          <t>2026</t>
        </is>
      </c>
      <c r="D2" s="2" t="inlineStr">
        <is>
          <t>מאי</t>
        </is>
      </c>
      <c r="E2" s="2" t="inlineStr">
        <is>
          <t>פסולת בנין</t>
        </is>
      </c>
      <c r="F2" s="4" t="n">
        <v>13200</v>
      </c>
      <c r="G2" s="2" t="inlineStr">
        <is>
          <t>ק"ג</t>
        </is>
      </c>
      <c r="H2" s="2" t="inlineStr">
        <is>
          <t>מ.נ מתקני מחזור בע"מ</t>
        </is>
      </c>
      <c r="I2" s="2" t="inlineStr">
        <is>
          <t>MNM-134419</t>
        </is>
      </c>
      <c r="J2" s="2" t="inlineStr">
        <is>
          <t>בינונית</t>
        </is>
      </c>
      <c r="K2" s="2" t="inlineStr">
        <is>
          <t>שדות ליבה חסרים: מרחב | עמוד 1 מתוך 5 | נורמל מ-"ירושלים"</t>
        </is>
      </c>
      <c r="L2" s="5" t="inlineStr">
        <is>
          <t>1945_אחלמה חודש 5.26.pdf</t>
        </is>
      </c>
    </row>
    <row r="3">
      <c r="A3" s="2" t="inlineStr"/>
      <c r="B3" s="2" t="inlineStr">
        <is>
          <t>ירושלים - החאן מקטע 30.2 תיק 811257</t>
        </is>
      </c>
      <c r="C3" s="3" t="inlineStr">
        <is>
          <t>2026</t>
        </is>
      </c>
      <c r="D3" s="2" t="inlineStr">
        <is>
          <t>מאי</t>
        </is>
      </c>
      <c r="E3" s="2" t="inlineStr">
        <is>
          <t>פסולת בנין</t>
        </is>
      </c>
      <c r="F3" s="4" t="n">
        <v>6540</v>
      </c>
      <c r="G3" s="2" t="inlineStr">
        <is>
          <t>ק"ג</t>
        </is>
      </c>
      <c r="H3" s="2" t="inlineStr">
        <is>
          <t>מ.נ מתקני מחזור בע"מ</t>
        </is>
      </c>
      <c r="I3" s="2" t="inlineStr">
        <is>
          <t>MNM-134572</t>
        </is>
      </c>
      <c r="J3" s="2" t="inlineStr">
        <is>
          <t>בינונית</t>
        </is>
      </c>
      <c r="K3" s="2" t="inlineStr">
        <is>
          <t>שדות ליבה חסרים: מרחב | עמוד 2 מתוך 5 | נורמל מ-"ירושלים"</t>
        </is>
      </c>
      <c r="L3" s="5" t="inlineStr">
        <is>
          <t>1945_אחלמה חודש 5.26.pdf</t>
        </is>
      </c>
    </row>
    <row r="4">
      <c r="A4" s="2" t="inlineStr"/>
      <c r="B4" s="2" t="inlineStr">
        <is>
          <t>רחוב אחלמה 1</t>
        </is>
      </c>
      <c r="C4" s="3" t="inlineStr">
        <is>
          <t>2026</t>
        </is>
      </c>
      <c r="D4" s="2" t="inlineStr">
        <is>
          <t>מאי</t>
        </is>
      </c>
      <c r="E4" s="2" t="inlineStr">
        <is>
          <t>פסולת בנין</t>
        </is>
      </c>
      <c r="F4" s="4" t="n">
        <v>11760</v>
      </c>
      <c r="G4" s="2" t="inlineStr">
        <is>
          <t>ק"ג</t>
        </is>
      </c>
      <c r="H4" s="2" t="inlineStr">
        <is>
          <t>מ.נ מתקני מחזור בע"מ</t>
        </is>
      </c>
      <c r="I4" s="2" t="inlineStr">
        <is>
          <t>MNM-134957</t>
        </is>
      </c>
      <c r="J4" s="2" t="inlineStr">
        <is>
          <t>בינונית</t>
        </is>
      </c>
      <c r="K4" s="2" t="inlineStr">
        <is>
          <t>שדות ליבה חסרים: מרחב | עמוד 3 מתוך 5 | ספק/אתר חדש - לא קיים ברשימת הייחוס</t>
        </is>
      </c>
      <c r="L4" s="5" t="inlineStr">
        <is>
          <t>1945_אחלמה חודש 5.26.pdf</t>
        </is>
      </c>
    </row>
    <row r="5">
      <c r="A5" s="2" t="inlineStr"/>
      <c r="B5" s="2" t="inlineStr">
        <is>
          <t>מכולות החברים</t>
        </is>
      </c>
      <c r="C5" s="3" t="inlineStr">
        <is>
          <t>2026</t>
        </is>
      </c>
      <c r="D5" s="2" t="inlineStr">
        <is>
          <t>מאי</t>
        </is>
      </c>
      <c r="E5" s="2" t="inlineStr">
        <is>
          <t>פסולת בנין</t>
        </is>
      </c>
      <c r="F5" s="4" t="n">
        <v>2820</v>
      </c>
      <c r="G5" s="2" t="inlineStr">
        <is>
          <t>ק"ג</t>
        </is>
      </c>
      <c r="H5" s="2" t="inlineStr">
        <is>
          <t>מ.נ מתקני מחזור בע"מ</t>
        </is>
      </c>
      <c r="I5" s="2" t="inlineStr">
        <is>
          <t>MNM-133610</t>
        </is>
      </c>
      <c r="J5" s="2" t="inlineStr">
        <is>
          <t>בינונית</t>
        </is>
      </c>
      <c r="K5" s="2" t="inlineStr">
        <is>
          <t>תאריך עתידי חריג | שדות ליבה חסרים: מרחב | עמוד 4 מתוך 5 | ספק/אתר חדש - לא קיים ברשימת הייחוס</t>
        </is>
      </c>
      <c r="L5" s="5" t="inlineStr">
        <is>
          <t>1945_אחלמה חודש 5.26.pdf</t>
        </is>
      </c>
    </row>
    <row r="6">
      <c r="A6" s="2" t="inlineStr"/>
      <c r="B6" s="2" t="inlineStr">
        <is>
          <t>ירושלים - החאן מקטע 30.2 תיק 811257</t>
        </is>
      </c>
      <c r="C6" s="3" t="inlineStr">
        <is>
          <t>2026</t>
        </is>
      </c>
      <c r="D6" s="2" t="inlineStr">
        <is>
          <t>מאי</t>
        </is>
      </c>
      <c r="E6" s="2" t="inlineStr">
        <is>
          <t>פסולת בנין</t>
        </is>
      </c>
      <c r="F6" s="4" t="n">
        <v>4020</v>
      </c>
      <c r="G6" s="2" t="inlineStr">
        <is>
          <t>ק"ג</t>
        </is>
      </c>
      <c r="H6" s="2" t="inlineStr">
        <is>
          <t>מ.נ מתקני מחזור בע"מ</t>
        </is>
      </c>
      <c r="I6" s="2" t="inlineStr">
        <is>
          <t>MNM-133570</t>
        </is>
      </c>
      <c r="J6" s="2" t="inlineStr">
        <is>
          <t>בינונית</t>
        </is>
      </c>
      <c r="K6" s="2" t="inlineStr">
        <is>
          <t>שדות ליבה חסרים: מרחב | עמוד 5 מתוך 5 | נורמל מ-"ירושלים"</t>
        </is>
      </c>
      <c r="L6" s="5" t="inlineStr">
        <is>
          <t>1945_אחלמה חודש 5.26.pdf</t>
        </is>
      </c>
    </row>
  </sheetData>
  <autoFilter ref="A1:L6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סה"כ תעודות שעובדו</t>
        </is>
      </c>
    </row>
    <row r="2">
      <c r="A2" s="7" t="inlineStr">
        <is>
          <t>סה"כ תעודות</t>
        </is>
      </c>
      <c r="B2" s="8">
        <f>COUNTA('ריכוז תעודות'!$L$2:$L$10000)</f>
        <v/>
      </c>
    </row>
    <row r="4">
      <c r="A4" s="6" t="inlineStr">
        <is>
          <t>פילוח לפי רמת ביטחון</t>
        </is>
      </c>
    </row>
    <row r="5">
      <c r="A5" s="1" t="inlineStr">
        <is>
          <t>רמת ביטחון</t>
        </is>
      </c>
      <c r="B5" s="1" t="inlineStr">
        <is>
          <t>מספר תעודות</t>
        </is>
      </c>
    </row>
    <row r="6">
      <c r="A6" s="9" t="inlineStr">
        <is>
          <t>גבוהה</t>
        </is>
      </c>
      <c r="B6" s="10">
        <f>COUNTIF('ריכוז תעודות'!$J$2:$J$10000,"גבוהה")</f>
        <v/>
      </c>
    </row>
    <row r="7">
      <c r="A7" s="9" t="inlineStr">
        <is>
          <t>בינונית</t>
        </is>
      </c>
      <c r="B7" s="10">
        <f>COUNTIF('ריכוז תעודות'!$J$2:$J$10000,"בינונית")</f>
        <v/>
      </c>
    </row>
    <row r="8">
      <c r="A8" s="9" t="inlineStr">
        <is>
          <t>נמוכה</t>
        </is>
      </c>
      <c r="B8" s="10">
        <f>COUNTIF('ריכוז תעודות'!$J$2:$J$10000,"נמוכה")</f>
        <v/>
      </c>
    </row>
    <row r="10">
      <c r="A10" s="6" t="inlineStr">
        <is>
          <t>כמות שפונתה לפי סוג פסולת ויחידת מידה</t>
        </is>
      </c>
    </row>
    <row r="11">
      <c r="A11" s="1" t="inlineStr">
        <is>
          <t>סוג פסולת</t>
        </is>
      </c>
      <c r="B11" s="1" t="inlineStr">
        <is>
          <t>ק"ג</t>
        </is>
      </c>
      <c r="C11" s="1" t="inlineStr">
        <is>
          <t>טון</t>
        </is>
      </c>
      <c r="D11" s="1" t="inlineStr">
        <is>
          <t>מ"ק</t>
        </is>
      </c>
      <c r="E11" s="1" t="inlineStr">
        <is>
          <t>ליטר</t>
        </is>
      </c>
      <c r="F11" s="1" t="inlineStr">
        <is>
          <t>יחידות</t>
        </is>
      </c>
      <c r="G11" s="1" t="inlineStr">
        <is>
          <t>ללא יחידה מזוהה</t>
        </is>
      </c>
      <c r="H11" s="1" t="inlineStr">
        <is>
          <t>סה"כ</t>
        </is>
      </c>
    </row>
    <row r="12">
      <c r="A12" s="9" t="inlineStr">
        <is>
          <t>גזם</t>
        </is>
      </c>
      <c r="B12" s="11">
        <f>SUMIFS('ריכוז תעודות'!$F$2:$F$10000,'ריכוז תעודות'!$E$2:$E$10000,"גזם",'ריכוז תעודות'!$G$2:$G$10000,"ק""ג")</f>
        <v/>
      </c>
      <c r="C12" s="11">
        <f>SUMIFS('ריכוז תעודות'!$F$2:$F$10000,'ריכוז תעודות'!$E$2:$E$10000,"גזם",'ריכוז תעודות'!$G$2:$G$10000,"טון")</f>
        <v/>
      </c>
      <c r="D12" s="11">
        <f>SUMIFS('ריכוז תעודות'!$F$2:$F$10000,'ריכוז תעודות'!$E$2:$E$10000,"גזם",'ריכוז תעודות'!$G$2:$G$10000,"מ""ק")</f>
        <v/>
      </c>
      <c r="E12" s="11">
        <f>SUMIFS('ריכוז תעודות'!$F$2:$F$10000,'ריכוז תעודות'!$E$2:$E$10000,"גזם",'ריכוז תעודות'!$G$2:$G$10000,"ליטר")</f>
        <v/>
      </c>
      <c r="F12" s="11">
        <f>SUMIFS('ריכוז תעודות'!$F$2:$F$10000,'ריכוז תעודות'!$E$2:$E$10000,"גזם",'ריכוז תעודות'!$G$2:$G$10000,"יחידות")</f>
        <v/>
      </c>
      <c r="G12" s="11">
        <f>SUMIFS('ריכוז תעודות'!$F$2:$F$10000,'ריכוז תעודות'!$E$2:$E$10000,"גזם")-SUM(B12:F12)</f>
        <v/>
      </c>
      <c r="H12" s="12">
        <f>SUM(B12:G12)</f>
        <v/>
      </c>
    </row>
    <row r="13">
      <c r="A13" s="9" t="inlineStr">
        <is>
          <t>קרטונים</t>
        </is>
      </c>
      <c r="B13" s="11">
        <f>SUMIFS('ריכוז תעודות'!$F$2:$F$10000,'ריכוז תעודות'!$E$2:$E$10000,"קרטונים",'ריכוז תעודות'!$G$2:$G$10000,"ק""ג")</f>
        <v/>
      </c>
      <c r="C13" s="11">
        <f>SUMIFS('ריכוז תעודות'!$F$2:$F$10000,'ריכוז תעודות'!$E$2:$E$10000,"קרטונים",'ריכוז תעודות'!$G$2:$G$10000,"טון")</f>
        <v/>
      </c>
      <c r="D13" s="11">
        <f>SUMIFS('ריכוז תעודות'!$F$2:$F$10000,'ריכוז תעודות'!$E$2:$E$10000,"קרטונים",'ריכוז תעודות'!$G$2:$G$10000,"מ""ק")</f>
        <v/>
      </c>
      <c r="E13" s="11">
        <f>SUMIFS('ריכוז תעודות'!$F$2:$F$10000,'ריכוז תעודות'!$E$2:$E$10000,"קרטונים",'ריכוז תעודות'!$G$2:$G$10000,"ליטר")</f>
        <v/>
      </c>
      <c r="F13" s="11">
        <f>SUMIFS('ריכוז תעודות'!$F$2:$F$10000,'ריכוז תעודות'!$E$2:$E$10000,"קרטונים",'ריכוז תעודות'!$G$2:$G$10000,"יחידות")</f>
        <v/>
      </c>
      <c r="G13" s="11">
        <f>SUMIFS('ריכוז תעודות'!$F$2:$F$10000,'ריכוז תעודות'!$E$2:$E$10000,"קרטונים")-SUM(B13:F13)</f>
        <v/>
      </c>
      <c r="H13" s="12">
        <f>SUM(B13:G13)</f>
        <v/>
      </c>
    </row>
    <row r="14">
      <c r="A14" s="9" t="inlineStr">
        <is>
          <t>נייר</t>
        </is>
      </c>
      <c r="B14" s="11">
        <f>SUMIFS('ריכוז תעודות'!$F$2:$F$10000,'ריכוז תעודות'!$E$2:$E$10000,"נייר",'ריכוז תעודות'!$G$2:$G$10000,"ק""ג")</f>
        <v/>
      </c>
      <c r="C14" s="11">
        <f>SUMIFS('ריכוז תעודות'!$F$2:$F$10000,'ריכוז תעודות'!$E$2:$E$10000,"נייר",'ריכוז תעודות'!$G$2:$G$10000,"טון")</f>
        <v/>
      </c>
      <c r="D14" s="11">
        <f>SUMIFS('ריכוז תעודות'!$F$2:$F$10000,'ריכוז תעודות'!$E$2:$E$10000,"נייר",'ריכוז תעודות'!$G$2:$G$10000,"מ""ק")</f>
        <v/>
      </c>
      <c r="E14" s="11">
        <f>SUMIFS('ריכוז תעודות'!$F$2:$F$10000,'ריכוז תעודות'!$E$2:$E$10000,"נייר",'ריכוז תעודות'!$G$2:$G$10000,"ליטר")</f>
        <v/>
      </c>
      <c r="F14" s="11">
        <f>SUMIFS('ריכוז תעודות'!$F$2:$F$10000,'ריכוז תעודות'!$E$2:$E$10000,"נייר",'ריכוז תעודות'!$G$2:$G$10000,"יחידות")</f>
        <v/>
      </c>
      <c r="G14" s="11">
        <f>SUMIFS('ריכוז תעודות'!$F$2:$F$10000,'ריכוז תעודות'!$E$2:$E$10000,"נייר")-SUM(B14:F14)</f>
        <v/>
      </c>
      <c r="H14" s="12">
        <f>SUM(B14:G14)</f>
        <v/>
      </c>
    </row>
    <row r="15">
      <c r="A15" s="9" t="inlineStr">
        <is>
          <t>אריזות</t>
        </is>
      </c>
      <c r="B15" s="11">
        <f>SUMIFS('ריכוז תעודות'!$F$2:$F$10000,'ריכוז תעודות'!$E$2:$E$10000,"אריזות",'ריכוז תעודות'!$G$2:$G$10000,"ק""ג")</f>
        <v/>
      </c>
      <c r="C15" s="11">
        <f>SUMIFS('ריכוז תעודות'!$F$2:$F$10000,'ריכוז תעודות'!$E$2:$E$10000,"אריזות",'ריכוז תעודות'!$G$2:$G$10000,"טון")</f>
        <v/>
      </c>
      <c r="D15" s="11">
        <f>SUMIFS('ריכוז תעודות'!$F$2:$F$10000,'ריכוז תעודות'!$E$2:$E$10000,"אריזות",'ריכוז תעודות'!$G$2:$G$10000,"מ""ק")</f>
        <v/>
      </c>
      <c r="E15" s="11">
        <f>SUMIFS('ריכוז תעודות'!$F$2:$F$10000,'ריכוז תעודות'!$E$2:$E$10000,"אריזות",'ריכוז תעודות'!$G$2:$G$10000,"ליטר")</f>
        <v/>
      </c>
      <c r="F15" s="11">
        <f>SUMIFS('ריכוז תעודות'!$F$2:$F$10000,'ריכוז תעודות'!$E$2:$E$10000,"אריזות",'ריכוז תעודות'!$G$2:$G$10000,"יחידות")</f>
        <v/>
      </c>
      <c r="G15" s="11">
        <f>SUMIFS('ריכוז תעודות'!$F$2:$F$10000,'ריכוז תעודות'!$E$2:$E$10000,"אריזות")-SUM(B15:F15)</f>
        <v/>
      </c>
      <c r="H15" s="12">
        <f>SUM(B15:G15)</f>
        <v/>
      </c>
    </row>
    <row r="16">
      <c r="A16" s="9" t="inlineStr">
        <is>
          <t>אלקטרוניקה</t>
        </is>
      </c>
      <c r="B16" s="11">
        <f>SUMIFS('ריכוז תעודות'!$F$2:$F$10000,'ריכוז תעודות'!$E$2:$E$10000,"אלקטרוניקה",'ריכוז תעודות'!$G$2:$G$10000,"ק""ג")</f>
        <v/>
      </c>
      <c r="C16" s="11">
        <f>SUMIFS('ריכוז תעודות'!$F$2:$F$10000,'ריכוז תעודות'!$E$2:$E$10000,"אלקטרוניקה",'ריכוז תעודות'!$G$2:$G$10000,"טון")</f>
        <v/>
      </c>
      <c r="D16" s="11">
        <f>SUMIFS('ריכוז תעודות'!$F$2:$F$10000,'ריכוז תעודות'!$E$2:$E$10000,"אלקטרוניקה",'ריכוז תעודות'!$G$2:$G$10000,"מ""ק")</f>
        <v/>
      </c>
      <c r="E16" s="11">
        <f>SUMIFS('ריכוז תעודות'!$F$2:$F$10000,'ריכוז תעודות'!$E$2:$E$10000,"אלקטרוניקה",'ריכוז תעודות'!$G$2:$G$10000,"ליטר")</f>
        <v/>
      </c>
      <c r="F16" s="11">
        <f>SUMIFS('ריכוז תעודות'!$F$2:$F$10000,'ריכוז תעודות'!$E$2:$E$10000,"אלקטרוניקה",'ריכוז תעודות'!$G$2:$G$10000,"יחידות")</f>
        <v/>
      </c>
      <c r="G16" s="11">
        <f>SUMIFS('ריכוז תעודות'!$F$2:$F$10000,'ריכוז תעודות'!$E$2:$E$10000,"אלקטרוניקה")-SUM(B16:F16)</f>
        <v/>
      </c>
      <c r="H16" s="12">
        <f>SUM(B16:G16)</f>
        <v/>
      </c>
    </row>
    <row r="17">
      <c r="A17" s="9" t="inlineStr">
        <is>
          <t>פסולת גושית</t>
        </is>
      </c>
      <c r="B17" s="11">
        <f>SUMIFS('ריכוז תעודות'!$F$2:$F$10000,'ריכוז תעודות'!$E$2:$E$10000,"פסולת גושית",'ריכוז תעודות'!$G$2:$G$10000,"ק""ג")</f>
        <v/>
      </c>
      <c r="C17" s="11">
        <f>SUMIFS('ריכוז תעודות'!$F$2:$F$10000,'ריכוז תעודות'!$E$2:$E$10000,"פסולת גושית",'ריכוז תעודות'!$G$2:$G$10000,"טון")</f>
        <v/>
      </c>
      <c r="D17" s="11">
        <f>SUMIFS('ריכוז תעודות'!$F$2:$F$10000,'ריכוז תעודות'!$E$2:$E$10000,"פסולת גושית",'ריכוז תעודות'!$G$2:$G$10000,"מ""ק")</f>
        <v/>
      </c>
      <c r="E17" s="11">
        <f>SUMIFS('ריכוז תעודות'!$F$2:$F$10000,'ריכוז תעודות'!$E$2:$E$10000,"פסולת גושית",'ריכוז תעודות'!$G$2:$G$10000,"ליטר")</f>
        <v/>
      </c>
      <c r="F17" s="11">
        <f>SUMIFS('ריכוז תעודות'!$F$2:$F$10000,'ריכוז תעודות'!$E$2:$E$10000,"פסולת גושית",'ריכוז תעודות'!$G$2:$G$10000,"יחידות")</f>
        <v/>
      </c>
      <c r="G17" s="11">
        <f>SUMIFS('ריכוז תעודות'!$F$2:$F$10000,'ריכוז תעודות'!$E$2:$E$10000,"פסולת גושית")-SUM(B17:F17)</f>
        <v/>
      </c>
      <c r="H17" s="12">
        <f>SUM(B17:G17)</f>
        <v/>
      </c>
    </row>
    <row r="18">
      <c r="A18" s="9" t="inlineStr">
        <is>
          <t>פסולת בנין</t>
        </is>
      </c>
      <c r="B18" s="11">
        <f>SUMIFS('ריכוז תעודות'!$F$2:$F$10000,'ריכוז תעודות'!$E$2:$E$10000,"פסולת בנין",'ריכוז תעודות'!$G$2:$G$10000,"ק""ג")</f>
        <v/>
      </c>
      <c r="C18" s="11">
        <f>SUMIFS('ריכוז תעודות'!$F$2:$F$10000,'ריכוז תעודות'!$E$2:$E$10000,"פסולת בנין",'ריכוז תעודות'!$G$2:$G$10000,"טון")</f>
        <v/>
      </c>
      <c r="D18" s="11">
        <f>SUMIFS('ריכוז תעודות'!$F$2:$F$10000,'ריכוז תעודות'!$E$2:$E$10000,"פסולת בנין",'ריכוז תעודות'!$G$2:$G$10000,"מ""ק")</f>
        <v/>
      </c>
      <c r="E18" s="11">
        <f>SUMIFS('ריכוז תעודות'!$F$2:$F$10000,'ריכוז תעודות'!$E$2:$E$10000,"פסולת בנין",'ריכוז תעודות'!$G$2:$G$10000,"ליטר")</f>
        <v/>
      </c>
      <c r="F18" s="11">
        <f>SUMIFS('ריכוז תעודות'!$F$2:$F$10000,'ריכוז תעודות'!$E$2:$E$10000,"פסולת בנין",'ריכוז תעודות'!$G$2:$G$10000,"יחידות")</f>
        <v/>
      </c>
      <c r="G18" s="11">
        <f>SUMIFS('ריכוז תעודות'!$F$2:$F$10000,'ריכוז תעודות'!$E$2:$E$10000,"פסולת בנין")-SUM(B18:F18)</f>
        <v/>
      </c>
      <c r="H18" s="12">
        <f>SUM(B18:G18)</f>
        <v/>
      </c>
    </row>
    <row r="19">
      <c r="A19" s="9" t="inlineStr">
        <is>
          <t>עודפי חפירה</t>
        </is>
      </c>
      <c r="B19" s="11">
        <f>SUMIFS('ריכוז תעודות'!$F$2:$F$10000,'ריכוז תעודות'!$E$2:$E$10000,"עודפי חפירה",'ריכוז תעודות'!$G$2:$G$10000,"ק""ג")</f>
        <v/>
      </c>
      <c r="C19" s="11">
        <f>SUMIFS('ריכוז תעודות'!$F$2:$F$10000,'ריכוז תעודות'!$E$2:$E$10000,"עודפי חפירה",'ריכוז תעודות'!$G$2:$G$10000,"טון")</f>
        <v/>
      </c>
      <c r="D19" s="11">
        <f>SUMIFS('ריכוז תעודות'!$F$2:$F$10000,'ריכוז תעודות'!$E$2:$E$10000,"עודפי חפירה",'ריכוז תעודות'!$G$2:$G$10000,"מ""ק")</f>
        <v/>
      </c>
      <c r="E19" s="11">
        <f>SUMIFS('ריכוז תעודות'!$F$2:$F$10000,'ריכוז תעודות'!$E$2:$E$10000,"עודפי חפירה",'ריכוז תעודות'!$G$2:$G$10000,"ליטר")</f>
        <v/>
      </c>
      <c r="F19" s="11">
        <f>SUMIFS('ריכוז תעודות'!$F$2:$F$10000,'ריכוז תעודות'!$E$2:$E$10000,"עודפי חפירה",'ריכוז תעודות'!$G$2:$G$10000,"יחידות")</f>
        <v/>
      </c>
      <c r="G19" s="11">
        <f>SUMIFS('ריכוז תעודות'!$F$2:$F$10000,'ריכוז תעודות'!$E$2:$E$10000,"עודפי חפירה")-SUM(B19:F19)</f>
        <v/>
      </c>
      <c r="H19" s="12">
        <f>SUM(B19:G19)</f>
        <v/>
      </c>
    </row>
    <row r="20">
      <c r="A20" s="9" t="inlineStr">
        <is>
          <t>מתכות</t>
        </is>
      </c>
      <c r="B20" s="11">
        <f>SUMIFS('ריכוז תעודות'!$F$2:$F$10000,'ריכוז תעודות'!$E$2:$E$10000,"מתכות",'ריכוז תעודות'!$G$2:$G$10000,"ק""ג")</f>
        <v/>
      </c>
      <c r="C20" s="11">
        <f>SUMIFS('ריכוז תעודות'!$F$2:$F$10000,'ריכוז תעודות'!$E$2:$E$10000,"מתכות",'ריכוז תעודות'!$G$2:$G$10000,"טון")</f>
        <v/>
      </c>
      <c r="D20" s="11">
        <f>SUMIFS('ריכוז תעודות'!$F$2:$F$10000,'ריכוז תעודות'!$E$2:$E$10000,"מתכות",'ריכוז תעודות'!$G$2:$G$10000,"מ""ק")</f>
        <v/>
      </c>
      <c r="E20" s="11">
        <f>SUMIFS('ריכוז תעודות'!$F$2:$F$10000,'ריכוז תעודות'!$E$2:$E$10000,"מתכות",'ריכוז תעודות'!$G$2:$G$10000,"ליטר")</f>
        <v/>
      </c>
      <c r="F20" s="11">
        <f>SUMIFS('ריכוז תעודות'!$F$2:$F$10000,'ריכוז תעודות'!$E$2:$E$10000,"מתכות",'ריכוז תעודות'!$G$2:$G$10000,"יחידות")</f>
        <v/>
      </c>
      <c r="G20" s="11">
        <f>SUMIFS('ריכוז תעודות'!$F$2:$F$10000,'ריכוז תעודות'!$E$2:$E$10000,"מתכות")-SUM(B20:F20)</f>
        <v/>
      </c>
      <c r="H20" s="12">
        <f>SUM(B20:G20)</f>
        <v/>
      </c>
    </row>
    <row r="21">
      <c r="A21" s="9" t="inlineStr">
        <is>
          <t>לא מסווג / לא מזוהה</t>
        </is>
      </c>
      <c r="B21" s="11">
        <f>SUMIF('ריכוז תעודות'!$G$2:$G$10000,"ק""ג",'ריכוז תעודות'!$F$2:$F$10000)-SUM(B12:B20)</f>
        <v/>
      </c>
      <c r="C21" s="11">
        <f>SUMIF('ריכוז תעודות'!$G$2:$G$10000,"טון",'ריכוז תעודות'!$F$2:$F$10000)-SUM(C12:C20)</f>
        <v/>
      </c>
      <c r="D21" s="11">
        <f>SUMIF('ריכוז תעודות'!$G$2:$G$10000,"מ""ק",'ריכוז תעודות'!$F$2:$F$10000)-SUM(D12:D20)</f>
        <v/>
      </c>
      <c r="E21" s="11">
        <f>SUMIF('ריכוז תעודות'!$G$2:$G$10000,"ליטר",'ריכוז תעודות'!$F$2:$F$10000)-SUM(E12:E20)</f>
        <v/>
      </c>
      <c r="F21" s="11">
        <f>SUMIF('ריכוז תעודות'!$G$2:$G$10000,"יחידות",'ריכוז תעודות'!$F$2:$F$10000)-SUM(F12:F20)</f>
        <v/>
      </c>
      <c r="G21" s="11">
        <f>SUM('ריכוז תעודות'!$F$2:$F$10000)-SUM(H12:H20)-SUM(B21:F21)</f>
        <v/>
      </c>
      <c r="H21" s="12">
        <f>SUM(B21:G21)</f>
        <v/>
      </c>
    </row>
    <row r="22">
      <c r="A22" s="13" t="inlineStr">
        <is>
          <t>סה"כ</t>
        </is>
      </c>
      <c r="B22" s="14">
        <f>SUM(B12:B21)</f>
        <v/>
      </c>
      <c r="C22" s="14">
        <f>SUM(C12:C21)</f>
        <v/>
      </c>
      <c r="D22" s="14">
        <f>SUM(D12:D21)</f>
        <v/>
      </c>
      <c r="E22" s="14">
        <f>SUM(E12:E21)</f>
        <v/>
      </c>
      <c r="F22" s="14">
        <f>SUM(F12:F21)</f>
        <v/>
      </c>
      <c r="G22" s="14">
        <f>SUM(G12:G21)</f>
        <v/>
      </c>
      <c r="H22" s="14">
        <f>SUM(H12:H21)</f>
        <v/>
      </c>
    </row>
    <row r="24">
      <c r="A24" s="6" t="inlineStr">
        <is>
          <t>פירוט לפי מרחב</t>
        </is>
      </c>
    </row>
    <row r="25">
      <c r="A25" s="1" t="inlineStr">
        <is>
          <t>מרחב</t>
        </is>
      </c>
      <c r="B25" s="1" t="inlineStr">
        <is>
          <t>מספר תעודות</t>
        </is>
      </c>
      <c r="C25" s="1" t="inlineStr">
        <is>
          <t>סה"כ כמות (כל היחידות יחד)</t>
        </is>
      </c>
    </row>
    <row r="26">
      <c r="A26" s="9" t="inlineStr">
        <is>
          <t>צפון</t>
        </is>
      </c>
      <c r="B26" s="10">
        <f>COUNTIF('ריכוז תעודות'!$A$2:$A$10000,"צפון")</f>
        <v/>
      </c>
      <c r="C26" s="11">
        <f>SUMIF('ריכוז תעודות'!$A$2:$A$10000,"צפון",'ריכוז תעודות'!$F$2:$F$10000)</f>
        <v/>
      </c>
    </row>
    <row r="27">
      <c r="A27" s="9" t="inlineStr">
        <is>
          <t>דרום</t>
        </is>
      </c>
      <c r="B27" s="10">
        <f>COUNTIF('ריכוז תעודות'!$A$2:$A$10000,"דרום")</f>
        <v/>
      </c>
      <c r="C27" s="11">
        <f>SUMIF('ריכוז תעודות'!$A$2:$A$10000,"דרום",'ריכוז תעודות'!$F$2:$F$10000)</f>
        <v/>
      </c>
    </row>
    <row r="28">
      <c r="A28" s="9" t="inlineStr">
        <is>
          <t>מרכז</t>
        </is>
      </c>
      <c r="B28" s="10">
        <f>COUNTIF('ריכוז תעודות'!$A$2:$A$10000,"מרכז")</f>
        <v/>
      </c>
      <c r="C28" s="11">
        <f>SUMIF('ריכוז תעודות'!$A$2:$A$10000,"מרכז",'ריכוז תעודות'!$F$2:$F$10000)</f>
        <v/>
      </c>
    </row>
    <row r="29">
      <c r="A29" s="9" t="inlineStr">
        <is>
          <t>מטה</t>
        </is>
      </c>
      <c r="B29" s="10">
        <f>COUNTIF('ריכוז תעודות'!$A$2:$A$10000,"מטה")</f>
        <v/>
      </c>
      <c r="C29" s="11">
        <f>SUMIF('ריכוז תעודות'!$A$2:$A$10000,"מטה",'ריכוז תעודות'!$F$2:$F$10000)</f>
        <v/>
      </c>
    </row>
    <row r="30">
      <c r="A30" s="9" t="inlineStr">
        <is>
          <t>ללא מרחב מזוהה</t>
        </is>
      </c>
      <c r="B30" s="10">
        <f>COUNTA('ריכוז תעודות'!$L$2:$L$10000)-SUM(B26:B29)</f>
        <v/>
      </c>
      <c r="C30" s="11">
        <f>SUM('ריכוז תעודות'!$F$2:$F$10000)-SUM(C26:C29)</f>
        <v/>
      </c>
    </row>
    <row r="31">
      <c r="A31" s="13" t="inlineStr">
        <is>
          <t>סה"כ</t>
        </is>
      </c>
      <c r="B31" s="8">
        <f>SUM(B26:B30)</f>
        <v/>
      </c>
      <c r="C31" s="14">
        <f>SUM(C26:C30)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2026-08-30T12:52:56Z</dcterms:created>
  <dcterms:modified xsi:type="dcterms:W3CDTF">2026-08-30T12:52:56Z</dcterms:modified>
</cp:coreProperties>
</file>